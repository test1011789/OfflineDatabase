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<sst xmlns="http://schemas.openxmlformats.org/spreadsheetml/2006/main" count="63" uniqueCount="42">
  <si>
    <t>核准</t>
  </si>
  <si>
    <t>生產</t>
  </si>
  <si>
    <t>許可證號碼
Reg. NO.</t>
  </si>
  <si>
    <t>劑型</t>
  </si>
  <si>
    <t>含量
AI</t>
  </si>
  <si>
    <t>劑型種類
Term</t>
  </si>
  <si>
    <t>劑型種類代碼
Code</t>
  </si>
  <si>
    <t>中文普通名稱
common name</t>
  </si>
  <si>
    <t>成品名
Brand Name</t>
  </si>
  <si>
    <t>倉庫白板貼</t>
  </si>
  <si>
    <t>作物</t>
  </si>
  <si>
    <t>使用特殊瓶</t>
  </si>
  <si>
    <t>雅飛總經銷</t>
  </si>
  <si>
    <t>版本</t>
  </si>
  <si>
    <t>委外加工</t>
  </si>
  <si>
    <t>O</t>
  </si>
  <si>
    <t>1</t>
  </si>
  <si>
    <t>除草劑</t>
  </si>
  <si>
    <t>20%</t>
  </si>
  <si>
    <t>水溶性粒劑</t>
  </si>
  <si>
    <t>達特南</t>
  </si>
  <si>
    <t>X</t>
  </si>
  <si>
    <t>2</t>
  </si>
  <si>
    <t>殺蟲劑</t>
  </si>
  <si>
    <t>10%</t>
  </si>
  <si>
    <t>水懸劑</t>
  </si>
  <si>
    <t>克凡派</t>
  </si>
  <si>
    <t>棕色瓶</t>
  </si>
  <si>
    <t>公司名</t>
  </si>
  <si>
    <t>3</t>
  </si>
  <si>
    <t>殺菌劑</t>
  </si>
  <si>
    <t>23.2%</t>
  </si>
  <si>
    <t>賓克隆</t>
  </si>
  <si>
    <t>安稻精</t>
  </si>
  <si>
    <t>欄位說明</t>
  </si>
  <si>
    <t>此欄位只有O跟X兩種狀態, 所以請建立下拉選單</t>
  </si>
  <si>
    <t>此欄位請設計"可輸入文字框"讓我可以自行輸入中文字或英文或數字</t>
  </si>
  <si>
    <t>此欄位請建立下拉選單, 值有3個:除草劑
, 殺蟲劑, 殺菌劑
然後因為不同的值會影響底色, 所以幫我設計我自己可以設定底色</t>
  </si>
  <si>
    <t xml:space="preserve">此欄位請設計"可輸入文字框"讓我可以自行輸入中文字或英文或數字
</t>
  </si>
  <si>
    <t>此欄位會根據G欄位的選擇自動顯示</t>
  </si>
  <si>
    <t>此欄位請建立下拉選單, 值會是英文, 請設計讓我可以自行增加
另外最重要的是這一欄位G跟F是連動的, 舉例來說, 我在G選擇A, F會自動顯示"我"</t>
  </si>
  <si>
    <t>此欄位請建立下拉選單, 值會是數字, 請設計讓我可以自行增加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</si>
</sst>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5.0"/>
      <color theme="1"/>
      <name val="Arial"/>
    </font>
    <font>
      <u/>
      <sz val="5.0"/>
      <color theme="1"/>
      <name val="Arial"/>
    </font>
    <font>
      <u/>
      <sz val="5.0"/>
      <color theme="1"/>
      <name val="Arial"/>
    </font>
    <font>
      <u/>
      <sz val="5.0"/>
      <color theme="1"/>
      <name val="Arial"/>
    </font>
    <font>
      <u/>
      <sz val="5.0"/>
      <color theme="1"/>
      <name val="Arial"/>
    </font>
    <font>
      <u/>
      <sz val="5.0"/>
      <color theme="1"/>
      <name val="Arial"/>
    </font>
    <font>
      <u/>
      <sz val="5.0"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wrapText="1"/>
    </xf>
    <xf borderId="1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horizontal="center" shrinkToFit="0" wrapText="1"/>
    </xf>
    <xf borderId="1" fillId="2" fontId="1" numFmtId="49" xfId="0" applyAlignment="1" applyBorder="1" applyFill="1" applyFont="1" applyNumberFormat="1">
      <alignment horizontal="center" shrinkToFit="0" wrapText="1"/>
    </xf>
    <xf borderId="1" fillId="2" fontId="2" numFmtId="49" xfId="0" applyAlignment="1" applyBorder="1" applyFill="1" applyFont="1" applyNumberFormat="1">
      <alignment horizontal="center" shrinkToFit="0" wrapText="1"/>
    </xf>
    <xf borderId="1" fillId="2" fontId="1" numFmtId="0" xfId="0" applyAlignment="1" applyBorder="1" applyFill="1" applyFont="1">
      <alignment horizontal="center" shrinkToFit="0" wrapText="1"/>
    </xf>
    <xf borderId="1" fillId="2" fontId="1" numFmtId="49" xfId="0" applyAlignment="1" applyBorder="1" applyFill="1" applyFont="1" applyNumberFormat="1">
      <alignment horizontal="right" shrinkToFit="0" wrapText="1"/>
    </xf>
    <xf borderId="1" fillId="2" fontId="3" numFmtId="0" xfId="0" applyAlignment="1" applyBorder="1" applyFill="1" applyFont="1">
      <alignment horizontal="center" shrinkToFit="0" wrapText="1"/>
    </xf>
    <xf borderId="1" fillId="2" fontId="1" numFmtId="0" xfId="0" applyAlignment="1" applyBorder="1" applyFill="1" applyFont="1">
      <alignment shrinkToFit="0" wrapText="1"/>
    </xf>
    <xf borderId="1" fillId="3" fontId="1" numFmtId="49" xfId="0" applyAlignment="1" applyBorder="1" applyFill="1" applyFont="1" applyNumberFormat="1">
      <alignment horizontal="center" shrinkToFit="0" wrapText="1"/>
    </xf>
    <xf borderId="1" fillId="3" fontId="4" numFmtId="49" xfId="0" applyAlignment="1" applyBorder="1" applyFill="1" applyFont="1" applyNumberForma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49" xfId="0" applyAlignment="1" applyBorder="1" applyFill="1" applyFont="1" applyNumberFormat="1">
      <alignment horizontal="right" shrinkToFit="0" wrapText="1"/>
    </xf>
    <xf borderId="1" fillId="3" fontId="5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shrinkToFit="0" wrapText="1"/>
    </xf>
    <xf borderId="1" fillId="4" fontId="1" numFmtId="49" xfId="0" applyAlignment="1" applyBorder="1" applyFill="1" applyFont="1" applyNumberFormat="1">
      <alignment horizontal="center" shrinkToFit="0" wrapText="1"/>
    </xf>
    <xf borderId="1" fillId="4" fontId="6" numFmtId="49" xfId="0" applyAlignment="1" applyBorder="1" applyFill="1" applyFont="1" applyNumberForma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4" fontId="1" numFmtId="49" xfId="0" applyAlignment="1" applyBorder="1" applyFill="1" applyFont="1" applyNumberFormat="1">
      <alignment horizontal="right" shrinkToFit="0" wrapText="1"/>
    </xf>
    <xf borderId="1" fillId="4" fontId="7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shrinkToFit="0" wrapText="1"/>
    </xf>
    <xf borderId="0" fillId="0" fontId="1" numFmtId="0" xfId="0" applyAlignment="1" applyFont="1">
      <alignment shrinkToFit="0" wrapText="1"/>
    </xf>
    <xf borderId="3" fillId="0" fontId="1" numFmtId="0" xfId="0" applyAlignment="1" applyBorder="1" applyFont="1">
      <alignment horizontal="center" readingOrder="0" shrinkToFit="0" wrapText="1"/>
    </xf>
    <xf borderId="4" fillId="0" fontId="8" numFmtId="0" xfId="0" applyBorder="1" applyFont="1"/>
    <xf borderId="5" fillId="0" fontId="8" numFmtId="0" xfId="0" applyBorder="1" applyFont="1"/>
    <xf borderId="1" fillId="0" fontId="1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../../../0_alger/enco/%E9%81%8E%E5%AF%A9%E6%A0%B8%E7%9A%84%E6%AA%94%E6%A1%88/10-07154-tmpH010873-S001.jpg" TargetMode="External"/><Relationship Id="rId2" Type="http://schemas.openxmlformats.org/officeDocument/2006/relationships/hyperlink" Target="http://../../../0_alger/enco/%E7%94%A2%E5%93%81/%E9%81%94%E7%89%B9%E5%8D%97/%E6%AA%94%E6%A1%88" TargetMode="External"/><Relationship Id="rId3" Type="http://schemas.openxmlformats.org/officeDocument/2006/relationships/hyperlink" Target="http://../../../0_alger/enco/%E9%81%8E%E5%AF%A9%E6%A0%B8%E7%9A%84%E6%AA%94%E6%A1%88/10-07212-1131806174-S001.jpg" TargetMode="External"/><Relationship Id="rId4" Type="http://schemas.openxmlformats.org/officeDocument/2006/relationships/hyperlink" Target="http://../../../0_alger/enco/%E7%94%A2%E5%93%81/%E5%85%8B%E5%87%A1%E6%B4%BE/%E6%AA%94%E6%A1%88" TargetMode="External"/><Relationship Id="rId5" Type="http://schemas.openxmlformats.org/officeDocument/2006/relationships/hyperlink" Target="http://../../../0_alger/enco/%E9%81%8E%E5%AF%A9%E6%A0%B8%E7%9A%84%E6%AA%94%E6%A1%88/10-07214-1131806422-S001.jpg" TargetMode="External"/><Relationship Id="rId6" Type="http://schemas.openxmlformats.org/officeDocument/2006/relationships/hyperlink" Target="http://../../../0_alger/enco/%E7%94%A2%E5%93%81/%E8%B3%93%E5%85%8B%E9%9A%86/%E6%AA%94%E6%A1%88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0"/>
    <col customWidth="1" min="3" max="3" width="5.13"/>
    <col customWidth="1" min="4" max="4" width="4.0"/>
    <col customWidth="1" min="5" max="5" width="3.88"/>
    <col customWidth="1" min="6" max="6" width="6.0"/>
    <col customWidth="1" min="7" max="7" width="7.0"/>
    <col customWidth="1" min="8" max="8" width="8.0"/>
    <col customWidth="1" min="9" max="9" width="6.88"/>
    <col customWidth="1" min="10" max="10" width="6.0"/>
    <col customWidth="1" min="11" max="11" width="3.0"/>
    <col customWidth="1" min="12" max="13" width="6.0"/>
    <col customWidth="1" min="14" max="14" width="3.0"/>
    <col customWidth="1" min="15" max="15" width="5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>
      <c r="A2" s="4" t="s">
        <v>15</v>
      </c>
      <c r="B2" s="4" t="s">
        <v>15</v>
      </c>
      <c r="C2" s="5" t="s">
        <v>16</v>
      </c>
      <c r="D2" s="6" t="s">
        <v>17</v>
      </c>
      <c r="E2" s="7" t="s">
        <v>18</v>
      </c>
      <c r="F2" s="6" t="s">
        <v>19</v>
      </c>
      <c r="G2" s="6" t="str">
        <f t="array" ref="G2">IFS(
F2="乳劑","EC",
F2="水懸劑","SC",
F2="水溶性粒劑","SG",
F2="溶液","SL",
F2="水溶性粉劑","SP",
F2="水分散性粒劑","WG",
F2="可溼性粉劑","WP",
F2="超低容量液劑","UL",
F2="水基乳劑","EW"
)</f>
        <v>SG</v>
      </c>
      <c r="H2" s="8" t="s">
        <v>20</v>
      </c>
      <c r="I2" s="6" t="s">
        <v>20</v>
      </c>
      <c r="J2" s="6" t="s">
        <v>15</v>
      </c>
      <c r="K2" s="9"/>
      <c r="L2" s="9"/>
      <c r="M2" s="6" t="s">
        <v>15</v>
      </c>
      <c r="N2" s="6">
        <v>1.0</v>
      </c>
      <c r="O2" s="9"/>
    </row>
    <row r="3">
      <c r="A3" s="10" t="s">
        <v>21</v>
      </c>
      <c r="B3" s="10" t="s">
        <v>21</v>
      </c>
      <c r="C3" s="11" t="s">
        <v>22</v>
      </c>
      <c r="D3" s="12" t="s">
        <v>23</v>
      </c>
      <c r="E3" s="13" t="s">
        <v>24</v>
      </c>
      <c r="F3" s="12" t="s">
        <v>25</v>
      </c>
      <c r="G3" s="12" t="str">
        <f t="array" ref="G3">IFS(
F3="乳劑","EC",
F3="水懸劑","SC",
F3="水溶性粒劑","SG",
F3="溶液","SL",
F3="水溶性粉劑","SP",
F3="水分散性粒劑","WG",
F3="可溼性粉劑","WP",
F3="超低容量液劑","UL",
F3="水基乳劑","EW"
)</f>
        <v>SC</v>
      </c>
      <c r="H3" s="14" t="s">
        <v>26</v>
      </c>
      <c r="I3" s="12" t="s">
        <v>26</v>
      </c>
      <c r="J3" s="12" t="s">
        <v>21</v>
      </c>
      <c r="K3" s="15"/>
      <c r="L3" s="12" t="s">
        <v>27</v>
      </c>
      <c r="M3" s="12" t="s">
        <v>21</v>
      </c>
      <c r="N3" s="12">
        <v>2.0</v>
      </c>
      <c r="O3" s="12" t="s">
        <v>28</v>
      </c>
    </row>
    <row r="4">
      <c r="A4" s="16" t="s">
        <v>15</v>
      </c>
      <c r="B4" s="16" t="s">
        <v>15</v>
      </c>
      <c r="C4" s="17" t="s">
        <v>29</v>
      </c>
      <c r="D4" s="18" t="s">
        <v>30</v>
      </c>
      <c r="E4" s="19" t="s">
        <v>31</v>
      </c>
      <c r="F4" s="18" t="s">
        <v>25</v>
      </c>
      <c r="G4" s="18" t="str">
        <f t="array" ref="G4">IFS(
F4="乳劑","EC",
F4="水懸劑","SC",
F4="水溶性粒劑","SG",
F4="溶液","SL",
F4="水溶性粉劑","SP",
F4="水分散性粒劑","WG",
F4="可溼性粉劑","WP",
F4="超低容量液劑","UL",
F4="水基乳劑","EW"
)</f>
        <v>SC</v>
      </c>
      <c r="H4" s="20" t="s">
        <v>32</v>
      </c>
      <c r="I4" s="18" t="s">
        <v>33</v>
      </c>
      <c r="J4" s="18" t="s">
        <v>15</v>
      </c>
      <c r="K4" s="21"/>
      <c r="L4" s="21"/>
      <c r="M4" s="18" t="s">
        <v>15</v>
      </c>
      <c r="N4" s="18">
        <v>3.0</v>
      </c>
      <c r="O4" s="21"/>
    </row>
    <row r="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</row>
    <row r="6">
      <c r="A6" s="23" t="s">
        <v>34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5"/>
    </row>
    <row r="7">
      <c r="A7" s="26" t="s">
        <v>35</v>
      </c>
      <c r="B7" s="26" t="s">
        <v>35</v>
      </c>
      <c r="C7" s="26" t="s">
        <v>36</v>
      </c>
      <c r="D7" s="26" t="s">
        <v>37</v>
      </c>
      <c r="E7" s="26" t="s">
        <v>38</v>
      </c>
      <c r="F7" s="26" t="s">
        <v>39</v>
      </c>
      <c r="G7" s="26" t="s">
        <v>40</v>
      </c>
      <c r="H7" s="26" t="s">
        <v>36</v>
      </c>
      <c r="I7" s="26" t="s">
        <v>36</v>
      </c>
      <c r="J7" s="26" t="s">
        <v>35</v>
      </c>
      <c r="K7" s="26" t="s">
        <v>36</v>
      </c>
      <c r="L7" s="26" t="s">
        <v>36</v>
      </c>
      <c r="M7" s="26" t="s">
        <v>35</v>
      </c>
      <c r="N7" s="26" t="s">
        <v>41</v>
      </c>
      <c r="O7" s="26" t="s">
        <v>36</v>
      </c>
    </row>
  </sheetData>
  <mergeCells count="1">
    <mergeCell ref="A6:O6"/>
  </mergeCells>
  <hyperlinks>
    <hyperlink r:id="rId1" ref="C2"/>
    <hyperlink r:id="rId2" ref="H2"/>
    <hyperlink r:id="rId3" ref="C3"/>
    <hyperlink r:id="rId4" ref="H3"/>
    <hyperlink r:id="rId5" ref="C4"/>
    <hyperlink r:id="rId6" ref="H4"/>
  </hyperlinks>
  <drawing r:id="rId7"/>
</worksheet>
</file>